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ИТМО\Лабораторные - Информатика\"/>
    </mc:Choice>
  </mc:AlternateContent>
  <xr:revisionPtr revIDLastSave="0" documentId="13_ncr:1_{18E12196-2F31-4194-80DF-5502719B3079}" xr6:coauthVersionLast="45" xr6:coauthVersionMax="45" xr10:uidLastSave="{00000000-0000-0000-0000-000000000000}"/>
  <bookViews>
    <workbookView xWindow="-108" yWindow="-108" windowWidth="23256" windowHeight="12576" activeTab="3" xr2:uid="{D8D86C3B-7030-4AE8-96CF-4D990C4B963A}"/>
  </bookViews>
  <sheets>
    <sheet name="A3" sheetId="1" r:id="rId1"/>
    <sheet name="B3" sheetId="2" r:id="rId2"/>
    <sheet name="D4" sheetId="3" r:id="rId3"/>
    <sheet name="E10" sheetId="4" r:id="rId4"/>
    <sheet name="G4" sheetId="17" r:id="rId5"/>
  </sheets>
  <definedNames>
    <definedName name="_xlnm._FilterDatabase" localSheetId="2" hidden="1">'D4'!$A$1:$H$16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2" i="3"/>
  <c r="B3" i="17" l="1"/>
  <c r="C2" i="17"/>
  <c r="E2" i="17" s="1"/>
  <c r="D2" i="17" s="1"/>
  <c r="C3" i="17" l="1"/>
  <c r="E3" i="17" s="1"/>
  <c r="D3" i="17" s="1"/>
  <c r="B4" i="17"/>
  <c r="B5" i="17" l="1"/>
  <c r="C4" i="17"/>
  <c r="E4" i="17" s="1"/>
  <c r="D4" i="17" s="1"/>
  <c r="C5" i="17" l="1"/>
  <c r="E5" i="17" s="1"/>
  <c r="D5" i="17" s="1"/>
  <c r="B6" i="17"/>
  <c r="B7" i="17" l="1"/>
  <c r="C6" i="17"/>
  <c r="E6" i="17" s="1"/>
  <c r="D6" i="17" s="1"/>
  <c r="B8" i="17" l="1"/>
  <c r="C7" i="17"/>
  <c r="E7" i="17" s="1"/>
  <c r="D7" i="17" s="1"/>
  <c r="C8" i="17" l="1"/>
  <c r="E8" i="17"/>
  <c r="D8" i="17" s="1"/>
  <c r="B9" i="17"/>
  <c r="C9" i="17" l="1"/>
  <c r="E9" i="17" s="1"/>
  <c r="D9" i="17" s="1"/>
  <c r="I9" i="2" l="1"/>
  <c r="H9" i="2"/>
  <c r="G9" i="2"/>
  <c r="F9" i="2"/>
  <c r="E9" i="2"/>
  <c r="D9" i="2"/>
  <c r="C9" i="2"/>
  <c r="B9" i="2"/>
  <c r="A9" i="2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3" i="4"/>
  <c r="G13" i="2"/>
  <c r="I13" i="2" s="1"/>
  <c r="I12" i="2"/>
  <c r="I14" i="2"/>
  <c r="H11" i="2"/>
  <c r="H12" i="2"/>
  <c r="H13" i="2"/>
  <c r="H14" i="2"/>
  <c r="H10" i="2"/>
  <c r="H15" i="2" s="1"/>
  <c r="G11" i="2"/>
  <c r="I11" i="2" s="1"/>
  <c r="G12" i="2"/>
  <c r="G14" i="2"/>
  <c r="G10" i="2"/>
  <c r="I10" i="2" s="1"/>
  <c r="F15" i="2"/>
  <c r="E15" i="2"/>
  <c r="G15" i="2" s="1"/>
  <c r="B9" i="1"/>
  <c r="C9" i="1" s="1"/>
  <c r="D1" i="1"/>
  <c r="I15" i="2" l="1"/>
  <c r="B10" i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D9" i="1"/>
  <c r="C10" i="1" l="1"/>
  <c r="D10" i="1" s="1"/>
  <c r="C11" i="1"/>
  <c r="D11" i="1" l="1"/>
  <c r="C12" i="1"/>
  <c r="D12" i="1" l="1"/>
  <c r="C13" i="1"/>
  <c r="D13" i="1" l="1"/>
  <c r="C14" i="1"/>
  <c r="D14" i="1" s="1"/>
  <c r="C15" i="1" l="1"/>
  <c r="D15" i="1" s="1"/>
  <c r="C16" i="1" l="1"/>
  <c r="C17" i="1" l="1"/>
  <c r="D17" i="1" s="1"/>
  <c r="D16" i="1"/>
  <c r="C18" i="1" l="1"/>
  <c r="D18" i="1" l="1"/>
  <c r="C19" i="1"/>
  <c r="D19" i="1" s="1"/>
  <c r="C20" i="1" l="1"/>
  <c r="D20" i="1" s="1"/>
  <c r="C21" i="1" l="1"/>
  <c r="D21" i="1" s="1"/>
  <c r="C22" i="1" l="1"/>
  <c r="D22" i="1" s="1"/>
  <c r="C23" i="1" l="1"/>
  <c r="D23" i="1" s="1"/>
  <c r="C25" i="1" l="1"/>
  <c r="C28" i="1" s="1"/>
  <c r="C24" i="1"/>
  <c r="D24" i="1" s="1"/>
  <c r="D25" i="1" l="1"/>
  <c r="D28" i="1" s="1"/>
  <c r="C27" i="1"/>
  <c r="C26" i="1"/>
  <c r="D27" i="1" l="1"/>
  <c r="D26" i="1"/>
</calcChain>
</file>

<file path=xl/sharedStrings.xml><?xml version="1.0" encoding="utf-8"?>
<sst xmlns="http://schemas.openxmlformats.org/spreadsheetml/2006/main" count="165" uniqueCount="118">
  <si>
    <t>МАКС</t>
  </si>
  <si>
    <t>МИН</t>
  </si>
  <si>
    <t>Аргумент X</t>
  </si>
  <si>
    <t xml:space="preserve">При A = </t>
  </si>
  <si>
    <t>Значение выражения на заданном интервале</t>
  </si>
  <si>
    <t xml:space="preserve">Максимальное значение аргумента = </t>
  </si>
  <si>
    <t xml:space="preserve">Минимальное значение аргумента = </t>
  </si>
  <si>
    <t>Искомое значение =</t>
  </si>
  <si>
    <t>Шаг изменения аргумента =</t>
  </si>
  <si>
    <t>Кол. Искомых</t>
  </si>
  <si>
    <t>ОО "Магазин", Тольятти, Дзержинского 10</t>
  </si>
  <si>
    <t>секция:</t>
  </si>
  <si>
    <t>Студ. Принадлежности</t>
  </si>
  <si>
    <t>период</t>
  </si>
  <si>
    <t>1.10.2017 - 31.10.2017</t>
  </si>
  <si>
    <t>Товарооборот за отчётный период</t>
  </si>
  <si>
    <t>Прибыль</t>
  </si>
  <si>
    <t>Сумма проданного товара</t>
  </si>
  <si>
    <t>Движение товара в количественном выражении</t>
  </si>
  <si>
    <t>Получено</t>
  </si>
  <si>
    <t>Продано</t>
  </si>
  <si>
    <t>Разница</t>
  </si>
  <si>
    <t>Ст-ть ед., руь</t>
  </si>
  <si>
    <t>ед. изм</t>
  </si>
  <si>
    <t>Наименование товара</t>
  </si>
  <si>
    <t>№ п/п</t>
  </si>
  <si>
    <t>Синяя библия</t>
  </si>
  <si>
    <t>БЭВМ</t>
  </si>
  <si>
    <t>Лицензия MS Office</t>
  </si>
  <si>
    <t>Ноутбук</t>
  </si>
  <si>
    <t>Автомат</t>
  </si>
  <si>
    <t>шт.</t>
  </si>
  <si>
    <t>Итого:</t>
  </si>
  <si>
    <t>Зав. Секцией</t>
  </si>
  <si>
    <t>Товаровед</t>
  </si>
  <si>
    <t>Егоров Д.Г.</t>
  </si>
  <si>
    <t>Гусь П.П.</t>
  </si>
  <si>
    <t>Номер</t>
  </si>
  <si>
    <t>Тип радиодетали</t>
  </si>
  <si>
    <t>Характеристика</t>
  </si>
  <si>
    <t>Страна-производитель</t>
  </si>
  <si>
    <t>Завод-изготовитель</t>
  </si>
  <si>
    <t>Дата изготовления</t>
  </si>
  <si>
    <t>Поставщик</t>
  </si>
  <si>
    <t>Цена</t>
  </si>
  <si>
    <t>М</t>
  </si>
  <si>
    <t>Команда</t>
  </si>
  <si>
    <t>Зенит</t>
  </si>
  <si>
    <t>ЦСКА</t>
  </si>
  <si>
    <t>Рубин</t>
  </si>
  <si>
    <t>Спартак</t>
  </si>
  <si>
    <t>Локомотив</t>
  </si>
  <si>
    <t>Спартак-Нальчик</t>
  </si>
  <si>
    <t>Динамо</t>
  </si>
  <si>
    <t>Томь</t>
  </si>
  <si>
    <t>Ростов</t>
  </si>
  <si>
    <t>Сатурн</t>
  </si>
  <si>
    <t>Анжи</t>
  </si>
  <si>
    <t>Терек</t>
  </si>
  <si>
    <t>Крылья Советов</t>
  </si>
  <si>
    <t>Амкар</t>
  </si>
  <si>
    <t>Алания</t>
  </si>
  <si>
    <t>Сибирь</t>
  </si>
  <si>
    <t>И</t>
  </si>
  <si>
    <t>В</t>
  </si>
  <si>
    <t>П</t>
  </si>
  <si>
    <t>Н</t>
  </si>
  <si>
    <t>±</t>
  </si>
  <si>
    <t>О</t>
  </si>
  <si>
    <t>ЗМ</t>
  </si>
  <si>
    <t>ПМ</t>
  </si>
  <si>
    <t>___________________________________________</t>
  </si>
  <si>
    <t>Конденсатор</t>
  </si>
  <si>
    <t>Резистор</t>
  </si>
  <si>
    <t>Транзистор</t>
  </si>
  <si>
    <t>Плоский</t>
  </si>
  <si>
    <t>Цилиндрический</t>
  </si>
  <si>
    <t>Сферический</t>
  </si>
  <si>
    <t>Варристор</t>
  </si>
  <si>
    <t>Терморезистор</t>
  </si>
  <si>
    <t>Фоторезистор</t>
  </si>
  <si>
    <t>Магниторезистор</t>
  </si>
  <si>
    <t>Тензорезистор</t>
  </si>
  <si>
    <t>Германиевый</t>
  </si>
  <si>
    <t>Кремниевый</t>
  </si>
  <si>
    <t>Элеком-ПЭК</t>
  </si>
  <si>
    <t>Россия</t>
  </si>
  <si>
    <t>United Chemi-Con</t>
  </si>
  <si>
    <t>Новосибирский завод конденсаторов</t>
  </si>
  <si>
    <t>Китай</t>
  </si>
  <si>
    <t>ChipDip</t>
  </si>
  <si>
    <t>EPCOS</t>
  </si>
  <si>
    <t>Германия</t>
  </si>
  <si>
    <t>Тайвань</t>
  </si>
  <si>
    <t>Royal Electronic company</t>
  </si>
  <si>
    <t>ОАО Интеграл</t>
  </si>
  <si>
    <t>ООО Новосибирский завод конденсаторов</t>
  </si>
  <si>
    <t>Промэлектроника</t>
  </si>
  <si>
    <t>YAGEO</t>
  </si>
  <si>
    <t>Radial</t>
  </si>
  <si>
    <t>Платан</t>
  </si>
  <si>
    <t>Vishay</t>
  </si>
  <si>
    <t>Израиль</t>
  </si>
  <si>
    <t>Элеком</t>
  </si>
  <si>
    <t>Арсенид-галлиевый</t>
  </si>
  <si>
    <t>ФИО Сотрудника</t>
  </si>
  <si>
    <t>Иванов А.П.</t>
  </si>
  <si>
    <t>Нетунаев Д.И.</t>
  </si>
  <si>
    <t>Петров Ю.А.</t>
  </si>
  <si>
    <t>Пономарёв М.Ю.</t>
  </si>
  <si>
    <t>Столяров И.В.</t>
  </si>
  <si>
    <t>Тихоновский А.С.</t>
  </si>
  <si>
    <t>Харламов В.Б.</t>
  </si>
  <si>
    <t>Щёкин С.С.</t>
  </si>
  <si>
    <t>Начало дежурства</t>
  </si>
  <si>
    <t>Конец дежурства</t>
  </si>
  <si>
    <t>Надбавка за месяц 1</t>
  </si>
  <si>
    <t>Надбавка за месяц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</si>
</sst>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-\ #,##0;"/>
    <numFmt numFmtId="166" formatCode="#,##0.00;\-\ #,##0.00;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rgb="FF1A1A1A"/>
      <name val="Calibri"/>
      <family val="2"/>
      <charset val="204"/>
      <scheme val="minor"/>
    </font>
    <font>
      <sz val="11"/>
      <color rgb="FF202124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lightGray"/>
    </fill>
    <fill>
      <patternFill patternType="solid">
        <fgColor theme="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/>
    <xf numFmtId="0" fontId="4" fillId="0" borderId="0" xfId="0" applyFont="1"/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right"/>
    </xf>
    <xf numFmtId="0" fontId="6" fillId="0" borderId="0" xfId="0" applyFont="1"/>
    <xf numFmtId="0" fontId="0" fillId="0" borderId="0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164" fontId="1" fillId="0" borderId="32" xfId="0" applyNumberFormat="1" applyFont="1" applyBorder="1" applyAlignment="1">
      <alignment horizontal="center" vertical="center" wrapText="1"/>
    </xf>
    <xf numFmtId="164" fontId="1" fillId="0" borderId="38" xfId="0" applyNumberFormat="1" applyFont="1" applyBorder="1" applyAlignment="1">
      <alignment horizontal="center" vertical="center" wrapText="1"/>
    </xf>
    <xf numFmtId="164" fontId="1" fillId="0" borderId="25" xfId="0" applyNumberFormat="1" applyFont="1" applyBorder="1" applyAlignment="1">
      <alignment horizontal="center" vertical="center" wrapText="1"/>
    </xf>
    <xf numFmtId="164" fontId="1" fillId="0" borderId="22" xfId="0" applyNumberFormat="1" applyFon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33" xfId="0" applyNumberFormat="1" applyFont="1" applyBorder="1" applyAlignment="1">
      <alignment horizontal="center" vertical="center"/>
    </xf>
    <xf numFmtId="164" fontId="1" fillId="0" borderId="39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0" fillId="0" borderId="19" xfId="0" applyNumberFormat="1" applyBorder="1"/>
    <xf numFmtId="164" fontId="0" fillId="0" borderId="20" xfId="0" applyNumberFormat="1" applyBorder="1"/>
    <xf numFmtId="164" fontId="0" fillId="0" borderId="34" xfId="0" applyNumberFormat="1" applyBorder="1"/>
    <xf numFmtId="164" fontId="0" fillId="0" borderId="40" xfId="0" applyNumberFormat="1" applyBorder="1"/>
    <xf numFmtId="164" fontId="0" fillId="3" borderId="27" xfId="0" applyNumberFormat="1" applyFill="1" applyBorder="1"/>
    <xf numFmtId="164" fontId="0" fillId="0" borderId="8" xfId="0" applyNumberFormat="1" applyBorder="1"/>
    <xf numFmtId="164" fontId="0" fillId="0" borderId="4" xfId="0" applyNumberFormat="1" applyBorder="1"/>
    <xf numFmtId="164" fontId="0" fillId="0" borderId="35" xfId="0" applyNumberFormat="1" applyBorder="1"/>
    <xf numFmtId="164" fontId="0" fillId="0" borderId="41" xfId="0" applyNumberFormat="1" applyBorder="1"/>
    <xf numFmtId="164" fontId="0" fillId="3" borderId="28" xfId="0" applyNumberFormat="1" applyFill="1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31" xfId="0" applyNumberFormat="1" applyBorder="1"/>
    <xf numFmtId="164" fontId="0" fillId="0" borderId="37" xfId="0" applyNumberFormat="1" applyBorder="1"/>
    <xf numFmtId="164" fontId="0" fillId="3" borderId="29" xfId="0" applyNumberFormat="1" applyFill="1" applyBorder="1"/>
    <xf numFmtId="164" fontId="1" fillId="3" borderId="36" xfId="0" applyNumberFormat="1" applyFont="1" applyFill="1" applyBorder="1"/>
    <xf numFmtId="164" fontId="1" fillId="3" borderId="42" xfId="0" applyNumberFormat="1" applyFont="1" applyFill="1" applyBorder="1"/>
    <xf numFmtId="164" fontId="1" fillId="3" borderId="30" xfId="0" applyNumberFormat="1" applyFont="1" applyFill="1" applyBorder="1"/>
    <xf numFmtId="0" fontId="0" fillId="0" borderId="0" xfId="0" applyFont="1"/>
    <xf numFmtId="0" fontId="0" fillId="0" borderId="4" xfId="0" applyFont="1" applyBorder="1"/>
    <xf numFmtId="0" fontId="8" fillId="0" borderId="4" xfId="0" applyFont="1" applyBorder="1"/>
    <xf numFmtId="14" fontId="0" fillId="0" borderId="4" xfId="0" applyNumberFormat="1" applyBorder="1"/>
    <xf numFmtId="0" fontId="7" fillId="0" borderId="4" xfId="0" applyFont="1" applyBorder="1"/>
    <xf numFmtId="0" fontId="0" fillId="0" borderId="4" xfId="0" applyNumberFormat="1" applyBorder="1"/>
    <xf numFmtId="0" fontId="0" fillId="2" borderId="4" xfId="0" applyFill="1" applyBorder="1" applyAlignment="1">
      <alignment horizontal="center"/>
    </xf>
    <xf numFmtId="164" fontId="1" fillId="0" borderId="13" xfId="0" applyNumberFormat="1" applyFont="1" applyBorder="1" applyAlignment="1">
      <alignment horizontal="right"/>
    </xf>
    <xf numFmtId="164" fontId="0" fillId="0" borderId="14" xfId="0" applyNumberFormat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 wrapText="1"/>
    </xf>
    <xf numFmtId="164" fontId="1" fillId="0" borderId="16" xfId="0" applyNumberFormat="1" applyFont="1" applyBorder="1" applyAlignment="1">
      <alignment horizontal="center" vertical="center" wrapText="1"/>
    </xf>
    <xf numFmtId="164" fontId="1" fillId="0" borderId="6" xfId="0" applyNumberFormat="1" applyFont="1" applyBorder="1" applyAlignment="1">
      <alignment horizontal="center" vertical="center" wrapText="1"/>
    </xf>
    <xf numFmtId="164" fontId="1" fillId="0" borderId="17" xfId="0" applyNumberFormat="1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64" fontId="1" fillId="0" borderId="18" xfId="0" applyNumberFormat="1" applyFont="1" applyBorder="1" applyAlignment="1">
      <alignment horizontal="center" vertical="center" wrapText="1"/>
    </xf>
    <xf numFmtId="0" fontId="0" fillId="4" borderId="4" xfId="0" applyFill="1" applyBorder="1" applyAlignment="1">
      <alignment horizontal="center"/>
    </xf>
    <xf numFmtId="166" fontId="0" fillId="0" borderId="12" xfId="0" applyNumberFormat="1" applyBorder="1"/>
    <xf numFmtId="166" fontId="0" fillId="0" borderId="9" xfId="0" applyNumberFormat="1" applyBorder="1"/>
    <xf numFmtId="166" fontId="0" fillId="0" borderId="21" xfId="0" applyNumberFormat="1" applyBorder="1"/>
    <xf numFmtId="166" fontId="4" fillId="3" borderId="21" xfId="0" applyNumberFormat="1" applyFont="1" applyFill="1" applyBorder="1"/>
    <xf numFmtId="166" fontId="4" fillId="3" borderId="9" xfId="0" applyNumberFormat="1" applyFont="1" applyFill="1" applyBorder="1"/>
    <xf numFmtId="166" fontId="4" fillId="3" borderId="12" xfId="0" applyNumberFormat="1" applyFont="1" applyFill="1" applyBorder="1"/>
    <xf numFmtId="166" fontId="3" fillId="3" borderId="15" xfId="0" applyNumberFormat="1" applyFont="1" applyFill="1" applyBorder="1"/>
    <xf numFmtId="166" fontId="1" fillId="0" borderId="22" xfId="0" applyNumberFormat="1" applyFont="1" applyBorder="1" applyAlignment="1">
      <alignment horizontal="center" vertical="center"/>
    </xf>
    <xf numFmtId="166" fontId="4" fillId="3" borderId="19" xfId="0" applyNumberFormat="1" applyFont="1" applyFill="1" applyBorder="1"/>
    <xf numFmtId="166" fontId="4" fillId="3" borderId="8" xfId="0" applyNumberFormat="1" applyFont="1" applyFill="1" applyBorder="1"/>
    <xf numFmtId="166" fontId="4" fillId="3" borderId="10" xfId="0" applyNumberFormat="1" applyFont="1" applyFill="1" applyBorder="1"/>
    <xf numFmtId="166" fontId="3" fillId="3" borderId="13" xfId="0" applyNumberFormat="1" applyFont="1" applyFill="1" applyBorder="1"/>
  </cellXfs>
  <cellStyles count="1">
    <cellStyle name="Обычный" xfId="0" builtinId="0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 patternType="solid"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lor theme="0"/>
      </font>
    </dxf>
    <dxf>
      <font>
        <color rgb="FF9C0006"/>
      </font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9</xdr:row>
          <xdr:rowOff>22860</xdr:rowOff>
        </xdr:from>
        <xdr:to>
          <xdr:col>4</xdr:col>
          <xdr:colOff>1165860</xdr:colOff>
          <xdr:row>10</xdr:row>
          <xdr:rowOff>152400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9</xdr:row>
          <xdr:rowOff>60960</xdr:rowOff>
        </xdr:from>
        <xdr:to>
          <xdr:col>0</xdr:col>
          <xdr:colOff>1043940</xdr:colOff>
          <xdr:row>10</xdr:row>
          <xdr:rowOff>144780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C4780-5AD3-4172-B9AF-9F6EE34732D2}">
  <sheetPr codeName="Лист2">
    <tabColor rgb="FF7030A0"/>
  </sheetPr>
  <dimension ref="A1:L28"/>
  <sheetViews>
    <sheetView workbookViewId="0">
      <selection activeCell="F25" sqref="F25"/>
    </sheetView>
  </sheetViews>
  <sheetFormatPr defaultRowHeight="14.4" x14ac:dyDescent="0.3"/>
  <cols>
    <col min="1" max="1" width="11.6640625" style="1" customWidth="1"/>
    <col min="2" max="2" width="14.77734375" style="1" customWidth="1"/>
    <col min="3" max="3" width="15.44140625" style="1" customWidth="1"/>
    <col min="4" max="4" width="13.21875" style="1" customWidth="1"/>
    <col min="5" max="5" width="16.109375" style="1" customWidth="1"/>
    <col min="6" max="6" width="7" style="1" customWidth="1"/>
    <col min="7" max="7" width="8.5546875" style="1" customWidth="1"/>
    <col min="8" max="12" width="8.88671875" style="1"/>
  </cols>
  <sheetData>
    <row r="1" spans="2:9" x14ac:dyDescent="0.3">
      <c r="C1" s="3" t="s">
        <v>5</v>
      </c>
      <c r="D1" s="6">
        <f>8</f>
        <v>8</v>
      </c>
      <c r="E1" s="2"/>
      <c r="F1" s="2"/>
      <c r="G1" s="2"/>
      <c r="H1" s="2"/>
      <c r="I1" s="2"/>
    </row>
    <row r="2" spans="2:9" x14ac:dyDescent="0.3">
      <c r="C2" s="3" t="s">
        <v>6</v>
      </c>
      <c r="D2" s="4">
        <v>-8</v>
      </c>
      <c r="F2" s="2"/>
      <c r="G2" s="2"/>
      <c r="H2" s="2"/>
      <c r="I2" s="2"/>
    </row>
    <row r="3" spans="2:9" x14ac:dyDescent="0.3">
      <c r="C3" s="3" t="s">
        <v>8</v>
      </c>
      <c r="D3" s="4">
        <v>1</v>
      </c>
      <c r="H3" s="2"/>
      <c r="I3" s="2"/>
    </row>
    <row r="4" spans="2:9" ht="15" thickBot="1" x14ac:dyDescent="0.35">
      <c r="C4" s="3" t="s">
        <v>7</v>
      </c>
      <c r="D4" s="5">
        <v>2.6</v>
      </c>
      <c r="H4" s="2"/>
      <c r="I4" s="2"/>
    </row>
    <row r="5" spans="2:9" x14ac:dyDescent="0.3">
      <c r="B5" s="2" t="s">
        <v>4</v>
      </c>
      <c r="C5" s="2"/>
      <c r="D5" s="2"/>
      <c r="H5" s="2"/>
      <c r="I5" s="2"/>
    </row>
    <row r="6" spans="2:9" x14ac:dyDescent="0.3">
      <c r="H6" s="2"/>
      <c r="I6" s="2"/>
    </row>
    <row r="7" spans="2:9" x14ac:dyDescent="0.3">
      <c r="B7" s="51" t="s">
        <v>2</v>
      </c>
      <c r="C7" s="51" t="s">
        <v>3</v>
      </c>
      <c r="D7" s="51"/>
      <c r="H7" s="2"/>
      <c r="I7" s="2"/>
    </row>
    <row r="8" spans="2:9" x14ac:dyDescent="0.3">
      <c r="B8" s="51"/>
      <c r="C8" s="15">
        <v>1</v>
      </c>
      <c r="D8" s="15">
        <v>10</v>
      </c>
    </row>
    <row r="9" spans="2:9" x14ac:dyDescent="0.3">
      <c r="B9" s="15">
        <f>D2</f>
        <v>-8</v>
      </c>
      <c r="C9" s="16">
        <f t="shared" ref="C9:D25" si="0">ROUND(SQRT(ABS(B9/C$8+C$8*SIN(B9)*SIN(B9))), 1)</f>
        <v>2.6</v>
      </c>
      <c r="D9" s="16">
        <f t="shared" si="0"/>
        <v>1.7</v>
      </c>
    </row>
    <row r="10" spans="2:9" x14ac:dyDescent="0.3">
      <c r="B10" s="15">
        <f t="shared" ref="B10:B25" si="1">B9+$D$3</f>
        <v>-7</v>
      </c>
      <c r="C10" s="16">
        <f t="shared" si="0"/>
        <v>2.6</v>
      </c>
      <c r="D10" s="16">
        <f t="shared" si="0"/>
        <v>1.7</v>
      </c>
    </row>
    <row r="11" spans="2:9" x14ac:dyDescent="0.3">
      <c r="B11" s="15">
        <f t="shared" si="1"/>
        <v>-6</v>
      </c>
      <c r="C11" s="16">
        <f t="shared" si="0"/>
        <v>2.4</v>
      </c>
      <c r="D11" s="16">
        <f t="shared" si="0"/>
        <v>2.2000000000000002</v>
      </c>
    </row>
    <row r="12" spans="2:9" x14ac:dyDescent="0.3">
      <c r="B12" s="15">
        <f t="shared" si="1"/>
        <v>-5</v>
      </c>
      <c r="C12" s="16">
        <f t="shared" si="0"/>
        <v>2</v>
      </c>
      <c r="D12" s="16">
        <f t="shared" si="0"/>
        <v>2.9</v>
      </c>
    </row>
    <row r="13" spans="2:9" x14ac:dyDescent="0.3">
      <c r="B13" s="15">
        <f t="shared" si="1"/>
        <v>-4</v>
      </c>
      <c r="C13" s="16">
        <f t="shared" si="0"/>
        <v>1.9</v>
      </c>
      <c r="D13" s="16">
        <f t="shared" si="0"/>
        <v>3</v>
      </c>
    </row>
    <row r="14" spans="2:9" x14ac:dyDescent="0.3">
      <c r="B14" s="15">
        <f t="shared" si="1"/>
        <v>-3</v>
      </c>
      <c r="C14" s="16">
        <f t="shared" si="0"/>
        <v>1.7</v>
      </c>
      <c r="D14" s="16">
        <f t="shared" si="0"/>
        <v>3.2</v>
      </c>
    </row>
    <row r="15" spans="2:9" x14ac:dyDescent="0.3">
      <c r="B15" s="15">
        <f t="shared" si="1"/>
        <v>-2</v>
      </c>
      <c r="C15" s="16">
        <f t="shared" si="0"/>
        <v>1.1000000000000001</v>
      </c>
      <c r="D15" s="16">
        <f t="shared" si="0"/>
        <v>2.8</v>
      </c>
    </row>
    <row r="16" spans="2:9" x14ac:dyDescent="0.3">
      <c r="B16" s="15">
        <f t="shared" si="1"/>
        <v>-1</v>
      </c>
      <c r="C16" s="16">
        <f t="shared" si="0"/>
        <v>0.5</v>
      </c>
      <c r="D16" s="16">
        <f t="shared" si="0"/>
        <v>1.5</v>
      </c>
    </row>
    <row r="17" spans="2:4" x14ac:dyDescent="0.3">
      <c r="B17" s="15">
        <f t="shared" si="1"/>
        <v>0</v>
      </c>
      <c r="C17" s="16">
        <f t="shared" si="0"/>
        <v>0</v>
      </c>
      <c r="D17" s="16">
        <f t="shared" si="0"/>
        <v>0</v>
      </c>
    </row>
    <row r="18" spans="2:4" x14ac:dyDescent="0.3">
      <c r="B18" s="15">
        <f t="shared" si="1"/>
        <v>1</v>
      </c>
      <c r="C18" s="16">
        <f t="shared" si="0"/>
        <v>1.3</v>
      </c>
      <c r="D18" s="16">
        <f t="shared" si="0"/>
        <v>3.1</v>
      </c>
    </row>
    <row r="19" spans="2:4" x14ac:dyDescent="0.3">
      <c r="B19" s="15">
        <f t="shared" si="1"/>
        <v>2</v>
      </c>
      <c r="C19" s="16">
        <f t="shared" si="0"/>
        <v>1.7</v>
      </c>
      <c r="D19" s="16">
        <f t="shared" si="0"/>
        <v>3.2</v>
      </c>
    </row>
    <row r="20" spans="2:4" x14ac:dyDescent="0.3">
      <c r="B20" s="15">
        <f t="shared" si="1"/>
        <v>3</v>
      </c>
      <c r="C20" s="16">
        <f t="shared" si="0"/>
        <v>1.7</v>
      </c>
      <c r="D20" s="16">
        <f t="shared" si="0"/>
        <v>3.2</v>
      </c>
    </row>
    <row r="21" spans="2:4" x14ac:dyDescent="0.3">
      <c r="B21" s="15">
        <f t="shared" si="1"/>
        <v>4</v>
      </c>
      <c r="C21" s="16">
        <f t="shared" si="0"/>
        <v>2.1</v>
      </c>
      <c r="D21" s="16">
        <f t="shared" si="0"/>
        <v>2.8</v>
      </c>
    </row>
    <row r="22" spans="2:4" x14ac:dyDescent="0.3">
      <c r="B22" s="15">
        <f t="shared" si="1"/>
        <v>5</v>
      </c>
      <c r="C22" s="16">
        <f t="shared" si="0"/>
        <v>2.4</v>
      </c>
      <c r="D22" s="16">
        <f t="shared" si="0"/>
        <v>2.2000000000000002</v>
      </c>
    </row>
    <row r="23" spans="2:4" x14ac:dyDescent="0.3">
      <c r="B23" s="15">
        <f t="shared" si="1"/>
        <v>6</v>
      </c>
      <c r="C23" s="16">
        <f t="shared" si="0"/>
        <v>2.5</v>
      </c>
      <c r="D23" s="16">
        <f t="shared" si="0"/>
        <v>2</v>
      </c>
    </row>
    <row r="24" spans="2:4" x14ac:dyDescent="0.3">
      <c r="B24" s="15">
        <f t="shared" si="1"/>
        <v>7</v>
      </c>
      <c r="C24" s="16">
        <f t="shared" si="0"/>
        <v>2.7</v>
      </c>
      <c r="D24" s="16">
        <f t="shared" si="0"/>
        <v>1.4</v>
      </c>
    </row>
    <row r="25" spans="2:4" x14ac:dyDescent="0.3">
      <c r="B25" s="15">
        <f t="shared" si="1"/>
        <v>8</v>
      </c>
      <c r="C25" s="16">
        <f t="shared" si="0"/>
        <v>3</v>
      </c>
      <c r="D25" s="16">
        <f t="shared" si="0"/>
        <v>0.7</v>
      </c>
    </row>
    <row r="26" spans="2:4" x14ac:dyDescent="0.3">
      <c r="B26" s="15" t="s">
        <v>0</v>
      </c>
      <c r="C26" s="17">
        <f>MAX(C9:C25)</f>
        <v>3</v>
      </c>
      <c r="D26" s="17">
        <f>MAX(D9:D25)</f>
        <v>3.2</v>
      </c>
    </row>
    <row r="27" spans="2:4" x14ac:dyDescent="0.3">
      <c r="B27" s="15" t="s">
        <v>1</v>
      </c>
      <c r="C27" s="16">
        <f>MIN(C9:C25)</f>
        <v>0</v>
      </c>
      <c r="D27" s="16">
        <f>MIN(D9:D25)</f>
        <v>0</v>
      </c>
    </row>
    <row r="28" spans="2:4" x14ac:dyDescent="0.3">
      <c r="B28" s="15" t="s">
        <v>9</v>
      </c>
      <c r="C28" s="16">
        <f>COUNTIF(C9:C25,$D$4)</f>
        <v>2</v>
      </c>
      <c r="D28" s="16">
        <f>COUNTIF(D9:D25,$D$4)</f>
        <v>0</v>
      </c>
    </row>
  </sheetData>
  <mergeCells count="2">
    <mergeCell ref="B7:B8"/>
    <mergeCell ref="C7:D7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794C-C6D7-4806-94C8-8887CC6A1C5B}">
  <sheetPr codeName="Лист3">
    <tabColor rgb="FF00B0F0"/>
  </sheetPr>
  <dimension ref="A1:I19"/>
  <sheetViews>
    <sheetView view="pageLayout" zoomScaleNormal="100" workbookViewId="0">
      <selection activeCell="I20" sqref="I20"/>
    </sheetView>
  </sheetViews>
  <sheetFormatPr defaultRowHeight="14.4" x14ac:dyDescent="0.3"/>
  <cols>
    <col min="2" max="2" width="23.77734375" customWidth="1"/>
    <col min="4" max="4" width="8.88671875" customWidth="1"/>
    <col min="5" max="5" width="15.33203125" customWidth="1"/>
    <col min="6" max="6" width="17.77734375" customWidth="1"/>
    <col min="8" max="8" width="13.88671875" customWidth="1"/>
    <col min="9" max="9" width="13.5546875" customWidth="1"/>
  </cols>
  <sheetData>
    <row r="1" spans="1:9" x14ac:dyDescent="0.3">
      <c r="A1" t="s">
        <v>10</v>
      </c>
    </row>
    <row r="2" spans="1:9" x14ac:dyDescent="0.3">
      <c r="A2" t="s">
        <v>11</v>
      </c>
      <c r="B2" s="7" t="s">
        <v>12</v>
      </c>
      <c r="C2" s="8"/>
      <c r="D2" s="8"/>
    </row>
    <row r="3" spans="1:9" x14ac:dyDescent="0.3">
      <c r="A3" t="s">
        <v>13</v>
      </c>
      <c r="B3" s="7" t="s">
        <v>14</v>
      </c>
      <c r="C3" s="8"/>
      <c r="D3" s="8"/>
    </row>
    <row r="4" spans="1:9" x14ac:dyDescent="0.3">
      <c r="A4" s="56" t="s">
        <v>15</v>
      </c>
      <c r="B4" s="57"/>
      <c r="C4" s="57"/>
      <c r="D4" s="57"/>
      <c r="E4" s="57"/>
      <c r="F4" s="57"/>
      <c r="G4" s="57"/>
      <c r="H4" s="57"/>
      <c r="I4" s="57"/>
    </row>
    <row r="5" spans="1:9" x14ac:dyDescent="0.3">
      <c r="A5" s="57"/>
      <c r="B5" s="57"/>
      <c r="C5" s="57"/>
      <c r="D5" s="57"/>
      <c r="E5" s="57"/>
      <c r="F5" s="57"/>
      <c r="G5" s="57"/>
      <c r="H5" s="57"/>
      <c r="I5" s="57"/>
    </row>
    <row r="6" spans="1:9" ht="15" thickBot="1" x14ac:dyDescent="0.35">
      <c r="A6" s="57"/>
      <c r="B6" s="57"/>
      <c r="C6" s="57"/>
      <c r="D6" s="57"/>
      <c r="E6" s="57"/>
      <c r="F6" s="57"/>
      <c r="G6" s="57"/>
      <c r="H6" s="57"/>
      <c r="I6" s="57"/>
    </row>
    <row r="7" spans="1:9" ht="40.799999999999997" customHeight="1" x14ac:dyDescent="0.3">
      <c r="A7" s="58" t="s">
        <v>25</v>
      </c>
      <c r="B7" s="60" t="s">
        <v>24</v>
      </c>
      <c r="C7" s="60" t="s">
        <v>23</v>
      </c>
      <c r="D7" s="62" t="s">
        <v>22</v>
      </c>
      <c r="E7" s="58" t="s">
        <v>18</v>
      </c>
      <c r="F7" s="60"/>
      <c r="G7" s="62"/>
      <c r="H7" s="58" t="s">
        <v>17</v>
      </c>
      <c r="I7" s="62" t="s">
        <v>16</v>
      </c>
    </row>
    <row r="8" spans="1:9" ht="15" thickBot="1" x14ac:dyDescent="0.35">
      <c r="A8" s="59"/>
      <c r="B8" s="61"/>
      <c r="C8" s="61"/>
      <c r="D8" s="63"/>
      <c r="E8" s="18" t="s">
        <v>19</v>
      </c>
      <c r="F8" s="19" t="s">
        <v>20</v>
      </c>
      <c r="G8" s="20" t="s">
        <v>21</v>
      </c>
      <c r="H8" s="59"/>
      <c r="I8" s="63"/>
    </row>
    <row r="9" spans="1:9" ht="15" thickBot="1" x14ac:dyDescent="0.35">
      <c r="A9" s="21" t="str">
        <f>ROMAN(1)</f>
        <v>I</v>
      </c>
      <c r="B9" s="22" t="str">
        <f>ROMAN(2)</f>
        <v>II</v>
      </c>
      <c r="C9" s="22" t="str">
        <f>ROMAN(3)</f>
        <v>III</v>
      </c>
      <c r="D9" s="23" t="str">
        <f>ROMAN(4)</f>
        <v>IV</v>
      </c>
      <c r="E9" s="24" t="str">
        <f>ROMAN(5)</f>
        <v>V</v>
      </c>
      <c r="F9" s="25" t="str">
        <f>ROMAN(6)</f>
        <v>VI</v>
      </c>
      <c r="G9" s="26" t="str">
        <f>ROMAN(7)</f>
        <v>VII</v>
      </c>
      <c r="H9" s="72" t="str">
        <f>ROMAN(8)</f>
        <v>VIII</v>
      </c>
      <c r="I9" s="23" t="str">
        <f>ROMAN(9)</f>
        <v>IX</v>
      </c>
    </row>
    <row r="10" spans="1:9" x14ac:dyDescent="0.3">
      <c r="A10" s="27">
        <v>1</v>
      </c>
      <c r="B10" s="28" t="s">
        <v>26</v>
      </c>
      <c r="C10" s="28" t="s">
        <v>31</v>
      </c>
      <c r="D10" s="67">
        <v>450</v>
      </c>
      <c r="E10" s="29">
        <v>800</v>
      </c>
      <c r="F10" s="30">
        <v>772</v>
      </c>
      <c r="G10" s="31">
        <f>E10-F10</f>
        <v>28</v>
      </c>
      <c r="H10" s="73">
        <f>F10*D10</f>
        <v>347400</v>
      </c>
      <c r="I10" s="68">
        <f>G10*D10</f>
        <v>12600</v>
      </c>
    </row>
    <row r="11" spans="1:9" x14ac:dyDescent="0.3">
      <c r="A11" s="32">
        <v>2</v>
      </c>
      <c r="B11" s="33" t="s">
        <v>27</v>
      </c>
      <c r="C11" s="33" t="s">
        <v>31</v>
      </c>
      <c r="D11" s="66">
        <v>4008</v>
      </c>
      <c r="E11" s="34">
        <v>1</v>
      </c>
      <c r="F11" s="35">
        <v>772</v>
      </c>
      <c r="G11" s="36">
        <f t="shared" ref="G11:G15" si="0">E11-F11</f>
        <v>-771</v>
      </c>
      <c r="H11" s="74">
        <f t="shared" ref="H11:H14" si="1">F11*D11</f>
        <v>3094176</v>
      </c>
      <c r="I11" s="69">
        <f t="shared" ref="I11:I14" si="2">G11*D11</f>
        <v>-3090168</v>
      </c>
    </row>
    <row r="12" spans="1:9" x14ac:dyDescent="0.3">
      <c r="A12" s="32">
        <v>3</v>
      </c>
      <c r="B12" s="33" t="s">
        <v>28</v>
      </c>
      <c r="C12" s="33" t="s">
        <v>31</v>
      </c>
      <c r="D12" s="66">
        <v>5190</v>
      </c>
      <c r="E12" s="34">
        <v>20</v>
      </c>
      <c r="F12" s="35">
        <v>3</v>
      </c>
      <c r="G12" s="36">
        <f t="shared" si="0"/>
        <v>17</v>
      </c>
      <c r="H12" s="74">
        <f t="shared" si="1"/>
        <v>15570</v>
      </c>
      <c r="I12" s="69">
        <f t="shared" si="2"/>
        <v>88230</v>
      </c>
    </row>
    <row r="13" spans="1:9" x14ac:dyDescent="0.3">
      <c r="A13" s="32">
        <v>4</v>
      </c>
      <c r="B13" s="33" t="s">
        <v>29</v>
      </c>
      <c r="C13" s="33" t="s">
        <v>31</v>
      </c>
      <c r="D13" s="66">
        <v>18890</v>
      </c>
      <c r="E13" s="34">
        <v>7</v>
      </c>
      <c r="F13" s="35">
        <v>0</v>
      </c>
      <c r="G13" s="36">
        <f t="shared" si="0"/>
        <v>7</v>
      </c>
      <c r="H13" s="74">
        <f t="shared" si="1"/>
        <v>0</v>
      </c>
      <c r="I13" s="69">
        <f t="shared" si="2"/>
        <v>132230</v>
      </c>
    </row>
    <row r="14" spans="1:9" ht="15" thickBot="1" x14ac:dyDescent="0.35">
      <c r="A14" s="37">
        <v>5</v>
      </c>
      <c r="B14" s="38" t="s">
        <v>30</v>
      </c>
      <c r="C14" s="38" t="s">
        <v>31</v>
      </c>
      <c r="D14" s="65">
        <v>15900</v>
      </c>
      <c r="E14" s="39">
        <v>2002</v>
      </c>
      <c r="F14" s="40">
        <v>1001</v>
      </c>
      <c r="G14" s="41">
        <f t="shared" si="0"/>
        <v>1001</v>
      </c>
      <c r="H14" s="75">
        <f t="shared" si="1"/>
        <v>15915900</v>
      </c>
      <c r="I14" s="70">
        <f t="shared" si="2"/>
        <v>15915900</v>
      </c>
    </row>
    <row r="15" spans="1:9" ht="15" thickBot="1" x14ac:dyDescent="0.35">
      <c r="A15" s="52" t="s">
        <v>32</v>
      </c>
      <c r="B15" s="53"/>
      <c r="C15" s="53"/>
      <c r="D15" s="54"/>
      <c r="E15" s="42">
        <f>SUM(E10:E14)</f>
        <v>2830</v>
      </c>
      <c r="F15" s="43">
        <f>SUM(F10:F14)</f>
        <v>2548</v>
      </c>
      <c r="G15" s="44">
        <f t="shared" si="0"/>
        <v>282</v>
      </c>
      <c r="H15" s="76">
        <f>SUM(H10:H14)</f>
        <v>19373046</v>
      </c>
      <c r="I15" s="71">
        <f>SUM(I10:I14)</f>
        <v>13058792</v>
      </c>
    </row>
    <row r="18" spans="4:8" x14ac:dyDescent="0.3">
      <c r="D18" s="11" t="s">
        <v>33</v>
      </c>
      <c r="E18" s="55" t="s">
        <v>71</v>
      </c>
      <c r="F18" s="55"/>
      <c r="G18" s="55"/>
      <c r="H18" t="s">
        <v>35</v>
      </c>
    </row>
    <row r="19" spans="4:8" x14ac:dyDescent="0.3">
      <c r="D19" s="11" t="s">
        <v>34</v>
      </c>
      <c r="E19" s="55" t="s">
        <v>71</v>
      </c>
      <c r="F19" s="55"/>
      <c r="G19" s="55"/>
      <c r="H19" t="s">
        <v>36</v>
      </c>
    </row>
  </sheetData>
  <mergeCells count="11">
    <mergeCell ref="A15:D15"/>
    <mergeCell ref="E18:G18"/>
    <mergeCell ref="E19:G19"/>
    <mergeCell ref="A4:I6"/>
    <mergeCell ref="A7:A8"/>
    <mergeCell ref="B7:B8"/>
    <mergeCell ref="C7:C8"/>
    <mergeCell ref="D7:D8"/>
    <mergeCell ref="E7:G7"/>
    <mergeCell ref="H7:H8"/>
    <mergeCell ref="I7:I8"/>
  </mergeCells>
  <conditionalFormatting sqref="A10:I15">
    <cfRule type="cellIs" dxfId="13" priority="3" operator="lessThan">
      <formula>0</formula>
    </cfRule>
  </conditionalFormatting>
  <conditionalFormatting sqref="I20">
    <cfRule type="cellIs" dxfId="12" priority="2" operator="equal">
      <formula>0</formula>
    </cfRule>
  </conditionalFormatting>
  <pageMargins left="0.7" right="0.70833333333333337" top="0.75" bottom="0.75" header="0.3" footer="0.3"/>
  <pageSetup paperSize="9" orientation="landscape" horizontalDpi="4294967293" verticalDpi="0" r:id="rId1"/>
  <headerFooter>
    <oddHeader xml:space="preserve">&amp;CДанилов Павел Юрьевич, вариант 9, &amp;F
</oddHeader>
    <oddFooter>&amp;CСоздано: 24.11.2020, 21:58</oddFooter>
  </headerFooter>
  <ignoredErrors>
    <ignoredError sqref="G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63F5-2747-47F4-83C6-68BFCCF3203F}">
  <sheetPr codeName="Лист4">
    <tabColor rgb="FF0070C0"/>
    <outlinePr summaryRight="0"/>
  </sheetPr>
  <dimension ref="A1:I23"/>
  <sheetViews>
    <sheetView workbookViewId="0">
      <selection activeCell="G21" sqref="G21"/>
    </sheetView>
  </sheetViews>
  <sheetFormatPr defaultRowHeight="14.4" outlineLevelRow="1" outlineLevelCol="2" x14ac:dyDescent="0.3"/>
  <cols>
    <col min="1" max="1" width="8.88671875" customWidth="1"/>
    <col min="2" max="2" width="15.88671875" customWidth="1"/>
    <col min="3" max="3" width="19.5546875" customWidth="1"/>
    <col min="4" max="4" width="20.21875" customWidth="1" outlineLevel="1"/>
    <col min="5" max="5" width="34.88671875" customWidth="1" outlineLevel="1"/>
    <col min="6" max="6" width="17.6640625" customWidth="1" outlineLevel="2"/>
    <col min="7" max="7" width="40.21875" customWidth="1" outlineLevel="2"/>
  </cols>
  <sheetData>
    <row r="1" spans="1:8" ht="24.6" customHeight="1" x14ac:dyDescent="0.3">
      <c r="A1" s="46" t="s">
        <v>37</v>
      </c>
      <c r="B1" s="46" t="s">
        <v>38</v>
      </c>
      <c r="C1" s="46" t="s">
        <v>39</v>
      </c>
      <c r="D1" s="46" t="s">
        <v>40</v>
      </c>
      <c r="E1" s="46" t="s">
        <v>41</v>
      </c>
      <c r="F1" s="46" t="s">
        <v>42</v>
      </c>
      <c r="G1" s="46" t="s">
        <v>43</v>
      </c>
      <c r="H1" s="10" t="s">
        <v>44</v>
      </c>
    </row>
    <row r="2" spans="1:8" ht="17.399999999999999" customHeight="1" x14ac:dyDescent="0.3">
      <c r="A2" s="46">
        <f>ROW()-1</f>
        <v>1</v>
      </c>
      <c r="B2" s="46" t="s">
        <v>73</v>
      </c>
      <c r="C2" s="46" t="s">
        <v>81</v>
      </c>
      <c r="D2" s="47" t="s">
        <v>93</v>
      </c>
      <c r="E2" s="46" t="s">
        <v>98</v>
      </c>
      <c r="F2" s="48">
        <v>41258</v>
      </c>
      <c r="G2" s="46" t="s">
        <v>100</v>
      </c>
      <c r="H2" s="10">
        <v>59</v>
      </c>
    </row>
    <row r="3" spans="1:8" outlineLevel="1" x14ac:dyDescent="0.3">
      <c r="A3" s="46">
        <f t="shared" ref="A3:A16" si="0">ROW()-1</f>
        <v>2</v>
      </c>
      <c r="B3" s="46" t="s">
        <v>73</v>
      </c>
      <c r="C3" s="46" t="s">
        <v>80</v>
      </c>
      <c r="D3" s="47" t="s">
        <v>93</v>
      </c>
      <c r="E3" s="46" t="s">
        <v>98</v>
      </c>
      <c r="F3" s="48">
        <v>41412</v>
      </c>
      <c r="G3" s="46" t="s">
        <v>97</v>
      </c>
      <c r="H3" s="10">
        <v>53</v>
      </c>
    </row>
    <row r="4" spans="1:8" outlineLevel="1" x14ac:dyDescent="0.3">
      <c r="A4" s="46">
        <f t="shared" si="0"/>
        <v>3</v>
      </c>
      <c r="B4" s="46" t="s">
        <v>73</v>
      </c>
      <c r="C4" s="46" t="s">
        <v>79</v>
      </c>
      <c r="D4" s="46" t="s">
        <v>93</v>
      </c>
      <c r="E4" s="46" t="s">
        <v>94</v>
      </c>
      <c r="F4" s="48">
        <v>41763</v>
      </c>
      <c r="G4" s="46" t="s">
        <v>90</v>
      </c>
      <c r="H4" s="10">
        <v>44</v>
      </c>
    </row>
    <row r="5" spans="1:8" outlineLevel="1" x14ac:dyDescent="0.3">
      <c r="A5" s="46">
        <f t="shared" si="0"/>
        <v>4</v>
      </c>
      <c r="B5" s="46" t="s">
        <v>72</v>
      </c>
      <c r="C5" s="46" t="s">
        <v>75</v>
      </c>
      <c r="D5" s="46" t="s">
        <v>86</v>
      </c>
      <c r="E5" s="46" t="s">
        <v>103</v>
      </c>
      <c r="F5" s="48">
        <v>41960</v>
      </c>
      <c r="G5" s="46" t="s">
        <v>85</v>
      </c>
      <c r="H5" s="10">
        <v>51</v>
      </c>
    </row>
    <row r="6" spans="1:8" outlineLevel="1" x14ac:dyDescent="0.3">
      <c r="A6" s="46">
        <f t="shared" si="0"/>
        <v>5</v>
      </c>
      <c r="B6" s="46" t="s">
        <v>74</v>
      </c>
      <c r="C6" s="46" t="s">
        <v>104</v>
      </c>
      <c r="D6" s="46" t="s">
        <v>89</v>
      </c>
      <c r="E6" s="46" t="s">
        <v>101</v>
      </c>
      <c r="F6" s="48">
        <v>42099</v>
      </c>
      <c r="G6" s="46" t="s">
        <v>100</v>
      </c>
      <c r="H6" s="10">
        <v>84</v>
      </c>
    </row>
    <row r="7" spans="1:8" outlineLevel="1" x14ac:dyDescent="0.3">
      <c r="A7" s="46">
        <f t="shared" si="0"/>
        <v>6</v>
      </c>
      <c r="B7" s="46" t="s">
        <v>72</v>
      </c>
      <c r="C7" s="46" t="s">
        <v>76</v>
      </c>
      <c r="D7" s="46" t="s">
        <v>86</v>
      </c>
      <c r="E7" s="46" t="s">
        <v>88</v>
      </c>
      <c r="F7" s="48">
        <v>42374</v>
      </c>
      <c r="G7" s="46" t="s">
        <v>96</v>
      </c>
      <c r="H7" s="10">
        <v>49</v>
      </c>
    </row>
    <row r="8" spans="1:8" outlineLevel="1" x14ac:dyDescent="0.3">
      <c r="A8" s="46">
        <f t="shared" si="0"/>
        <v>7</v>
      </c>
      <c r="B8" s="46" t="s">
        <v>74</v>
      </c>
      <c r="C8" s="46" t="s">
        <v>84</v>
      </c>
      <c r="D8" s="47" t="s">
        <v>102</v>
      </c>
      <c r="E8" s="46" t="s">
        <v>101</v>
      </c>
      <c r="F8" s="48">
        <v>42401</v>
      </c>
      <c r="G8" s="46" t="s">
        <v>100</v>
      </c>
      <c r="H8" s="10">
        <v>24</v>
      </c>
    </row>
    <row r="9" spans="1:8" outlineLevel="1" x14ac:dyDescent="0.3">
      <c r="A9" s="46">
        <f t="shared" si="0"/>
        <v>8</v>
      </c>
      <c r="B9" s="46" t="s">
        <v>72</v>
      </c>
      <c r="C9" s="46" t="s">
        <v>77</v>
      </c>
      <c r="D9" s="46" t="s">
        <v>89</v>
      </c>
      <c r="E9" s="49" t="s">
        <v>87</v>
      </c>
      <c r="F9" s="48">
        <v>42472</v>
      </c>
      <c r="G9" s="46" t="s">
        <v>90</v>
      </c>
      <c r="H9" s="10">
        <v>25</v>
      </c>
    </row>
    <row r="10" spans="1:8" outlineLevel="1" x14ac:dyDescent="0.3">
      <c r="A10" s="46">
        <f t="shared" si="0"/>
        <v>9</v>
      </c>
      <c r="B10" s="46" t="s">
        <v>74</v>
      </c>
      <c r="C10" s="46" t="s">
        <v>84</v>
      </c>
      <c r="D10" s="46" t="s">
        <v>86</v>
      </c>
      <c r="E10" s="46" t="s">
        <v>95</v>
      </c>
      <c r="F10" s="48">
        <v>42736</v>
      </c>
      <c r="G10" s="46" t="s">
        <v>95</v>
      </c>
      <c r="H10" s="10">
        <v>45</v>
      </c>
    </row>
    <row r="11" spans="1:8" outlineLevel="1" x14ac:dyDescent="0.3">
      <c r="A11" s="46">
        <f t="shared" si="0"/>
        <v>10</v>
      </c>
      <c r="B11" s="46" t="s">
        <v>74</v>
      </c>
      <c r="C11" s="46" t="s">
        <v>104</v>
      </c>
      <c r="D11" s="46" t="s">
        <v>89</v>
      </c>
      <c r="E11" s="46" t="s">
        <v>99</v>
      </c>
      <c r="F11" s="48">
        <v>42856</v>
      </c>
      <c r="G11" s="46" t="s">
        <v>97</v>
      </c>
      <c r="H11" s="10">
        <v>52</v>
      </c>
    </row>
    <row r="12" spans="1:8" outlineLevel="1" x14ac:dyDescent="0.3">
      <c r="A12" s="46">
        <f t="shared" si="0"/>
        <v>11</v>
      </c>
      <c r="B12" s="46" t="s">
        <v>72</v>
      </c>
      <c r="C12" s="46" t="s">
        <v>76</v>
      </c>
      <c r="D12" s="46" t="s">
        <v>92</v>
      </c>
      <c r="E12" s="46" t="s">
        <v>91</v>
      </c>
      <c r="F12" s="48">
        <v>43013</v>
      </c>
      <c r="G12" s="46" t="s">
        <v>90</v>
      </c>
      <c r="H12" s="10">
        <v>54</v>
      </c>
    </row>
    <row r="13" spans="1:8" outlineLevel="1" x14ac:dyDescent="0.3">
      <c r="A13" s="46">
        <f t="shared" si="0"/>
        <v>12</v>
      </c>
      <c r="B13" s="46" t="s">
        <v>74</v>
      </c>
      <c r="C13" s="46" t="s">
        <v>83</v>
      </c>
      <c r="D13" s="46" t="s">
        <v>86</v>
      </c>
      <c r="E13" s="46" t="s">
        <v>95</v>
      </c>
      <c r="F13" s="48">
        <v>43232</v>
      </c>
      <c r="G13" s="46" t="s">
        <v>90</v>
      </c>
      <c r="H13" s="10">
        <v>58</v>
      </c>
    </row>
    <row r="14" spans="1:8" outlineLevel="1" x14ac:dyDescent="0.3">
      <c r="A14" s="46">
        <f t="shared" si="0"/>
        <v>13</v>
      </c>
      <c r="B14" s="46" t="s">
        <v>73</v>
      </c>
      <c r="C14" s="46" t="s">
        <v>82</v>
      </c>
      <c r="D14" s="46" t="s">
        <v>93</v>
      </c>
      <c r="E14" s="46" t="s">
        <v>94</v>
      </c>
      <c r="F14" s="48">
        <v>43446</v>
      </c>
      <c r="G14" s="46" t="s">
        <v>90</v>
      </c>
      <c r="H14" s="10">
        <v>60</v>
      </c>
    </row>
    <row r="15" spans="1:8" outlineLevel="1" x14ac:dyDescent="0.3">
      <c r="A15" s="46">
        <f t="shared" si="0"/>
        <v>14</v>
      </c>
      <c r="B15" s="46" t="s">
        <v>74</v>
      </c>
      <c r="C15" s="46" t="s">
        <v>84</v>
      </c>
      <c r="D15" s="46" t="s">
        <v>86</v>
      </c>
      <c r="E15" s="46" t="s">
        <v>95</v>
      </c>
      <c r="F15" s="48">
        <v>43569</v>
      </c>
      <c r="G15" s="46" t="s">
        <v>90</v>
      </c>
      <c r="H15" s="10">
        <v>55</v>
      </c>
    </row>
    <row r="16" spans="1:8" outlineLevel="1" x14ac:dyDescent="0.3">
      <c r="A16" s="46">
        <f t="shared" si="0"/>
        <v>15</v>
      </c>
      <c r="B16" s="46" t="s">
        <v>73</v>
      </c>
      <c r="C16" s="46" t="s">
        <v>78</v>
      </c>
      <c r="D16" s="46" t="s">
        <v>93</v>
      </c>
      <c r="E16" s="46" t="s">
        <v>94</v>
      </c>
      <c r="F16" s="48">
        <v>43868</v>
      </c>
      <c r="G16" s="46" t="s">
        <v>90</v>
      </c>
      <c r="H16" s="10">
        <v>47</v>
      </c>
    </row>
    <row r="17" spans="1:7" outlineLevel="1" x14ac:dyDescent="0.3">
      <c r="A17" s="45"/>
      <c r="B17" s="45"/>
      <c r="C17" s="45"/>
      <c r="D17" s="45"/>
      <c r="E17" s="45"/>
      <c r="F17" s="45"/>
      <c r="G17" s="45"/>
    </row>
    <row r="18" spans="1:7" outlineLevel="1" x14ac:dyDescent="0.3"/>
    <row r="19" spans="1:7" outlineLevel="1" x14ac:dyDescent="0.3"/>
    <row r="20" spans="1:7" outlineLevel="1" x14ac:dyDescent="0.3"/>
    <row r="21" spans="1:7" outlineLevel="1" x14ac:dyDescent="0.3"/>
    <row r="22" spans="1:7" outlineLevel="1" x14ac:dyDescent="0.3"/>
    <row r="23" spans="1:7" outlineLevel="1" x14ac:dyDescent="0.3"/>
  </sheetData>
  <autoFilter ref="A1:H16" xr:uid="{341EF2DE-5043-418B-AD6C-7269C8C2CF56}">
    <sortState xmlns:xlrd2="http://schemas.microsoft.com/office/spreadsheetml/2017/richdata2" ref="A2:H16">
      <sortCondition ref="F1"/>
    </sortState>
  </autoFilter>
  <sortState xmlns:xlrd2="http://schemas.microsoft.com/office/spreadsheetml/2017/richdata2" ref="F2:F16">
    <sortCondition ref="F16"/>
  </sortState>
  <dataValidations count="6">
    <dataValidation type="whole" operator="greaterThanOrEqual" allowBlank="1" showInputMessage="1" showErrorMessage="1" sqref="A1:A1048576" xr:uid="{CA858E12-323D-4994-A1CE-BAB65800016E}">
      <formula1>1</formula1>
    </dataValidation>
    <dataValidation type="decimal" allowBlank="1" showInputMessage="1" showErrorMessage="1" sqref="H1:H1048576" xr:uid="{18EAED7A-29D0-48DD-B5DD-F61A5AB773E2}">
      <formula1>1</formula1>
      <formula2>1000</formula2>
    </dataValidation>
    <dataValidation type="list" allowBlank="1" showInputMessage="1" showErrorMessage="1" sqref="B1:B1048576" xr:uid="{5B16D54D-AB5D-4CE0-BCE3-4D7CDC93A4E9}">
      <formula1>"Конденсатор,Резистор,Транзистор"</formula1>
    </dataValidation>
    <dataValidation type="list" allowBlank="1" showInputMessage="1" showErrorMessage="1" sqref="C1:C1048576" xr:uid="{6DB13D9D-367F-4731-9DA4-1B8CA7239C8D}">
      <formula1>"Плоский,Цилиндрический,Сферический,Варристор,Терморезистор,Фоторезистор,Магниторезистор,Тензорезистор,Германиевый,Кремниевый,Арсенид-галлиевый"</formula1>
    </dataValidation>
    <dataValidation type="textLength" allowBlank="1" showInputMessage="1" showErrorMessage="1" sqref="E1:E1048576" xr:uid="{86A1DD6B-5760-4CCE-BF43-95EC34061E53}">
      <formula1>1</formula1>
      <formula2>50</formula2>
    </dataValidation>
    <dataValidation type="date" allowBlank="1" showInputMessage="1" showErrorMessage="1" sqref="F1:F1048576" xr:uid="{D971DE75-4EFB-44B6-928B-7C387627869F}">
      <formula1>36161</formula1>
      <formula2>44166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D8021-F711-4676-8948-F6C3127445F8}">
  <sheetPr codeName="Лист5">
    <tabColor rgb="FF00B050"/>
  </sheetPr>
  <dimension ref="B1:L18"/>
  <sheetViews>
    <sheetView tabSelected="1" topLeftCell="B1" workbookViewId="0">
      <selection activeCell="O21" sqref="O21"/>
    </sheetView>
  </sheetViews>
  <sheetFormatPr defaultRowHeight="14.4" x14ac:dyDescent="0.3"/>
  <cols>
    <col min="3" max="3" width="15.5546875" customWidth="1"/>
  </cols>
  <sheetData>
    <row r="1" spans="2:12" x14ac:dyDescent="0.3"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2:12" x14ac:dyDescent="0.3">
      <c r="B2" s="9" t="s">
        <v>45</v>
      </c>
      <c r="C2" s="9" t="s">
        <v>46</v>
      </c>
      <c r="D2" s="9" t="s">
        <v>63</v>
      </c>
      <c r="E2" s="9" t="s">
        <v>64</v>
      </c>
      <c r="F2" s="9" t="s">
        <v>66</v>
      </c>
      <c r="G2" s="9" t="s">
        <v>65</v>
      </c>
      <c r="H2" s="9" t="s">
        <v>69</v>
      </c>
      <c r="I2" s="9" t="s">
        <v>70</v>
      </c>
      <c r="J2" s="14" t="s">
        <v>67</v>
      </c>
      <c r="K2" s="14" t="s">
        <v>68</v>
      </c>
      <c r="L2" s="12"/>
    </row>
    <row r="3" spans="2:12" x14ac:dyDescent="0.3">
      <c r="B3" s="9">
        <v>1</v>
      </c>
      <c r="C3" s="9" t="s">
        <v>47</v>
      </c>
      <c r="D3" s="9">
        <v>30</v>
      </c>
      <c r="E3" s="9">
        <v>20</v>
      </c>
      <c r="F3" s="9">
        <v>8</v>
      </c>
      <c r="G3" s="9">
        <f>D3-E3-F3</f>
        <v>2</v>
      </c>
      <c r="H3" s="9">
        <v>61</v>
      </c>
      <c r="I3" s="9">
        <v>21</v>
      </c>
      <c r="J3" s="9">
        <f>H3-I3</f>
        <v>40</v>
      </c>
      <c r="K3" s="9">
        <f>E3*3+F3</f>
        <v>68</v>
      </c>
    </row>
    <row r="4" spans="2:12" x14ac:dyDescent="0.3">
      <c r="B4" s="9">
        <v>2</v>
      </c>
      <c r="C4" s="9" t="s">
        <v>48</v>
      </c>
      <c r="D4" s="9">
        <v>30</v>
      </c>
      <c r="E4" s="9">
        <v>18</v>
      </c>
      <c r="F4" s="9">
        <v>8</v>
      </c>
      <c r="G4" s="9">
        <f t="shared" ref="G4:G18" si="0">D4-E4-F4</f>
        <v>4</v>
      </c>
      <c r="H4" s="9">
        <v>51</v>
      </c>
      <c r="I4" s="9">
        <v>22</v>
      </c>
      <c r="J4" s="9">
        <f t="shared" ref="J4:J18" si="1">H4-I4</f>
        <v>29</v>
      </c>
      <c r="K4" s="9">
        <f t="shared" ref="K4:K18" si="2">E4*3+F4</f>
        <v>62</v>
      </c>
    </row>
    <row r="5" spans="2:12" x14ac:dyDescent="0.3">
      <c r="B5" s="9">
        <v>3</v>
      </c>
      <c r="C5" s="9" t="s">
        <v>49</v>
      </c>
      <c r="D5" s="9">
        <v>30</v>
      </c>
      <c r="E5" s="9">
        <v>15</v>
      </c>
      <c r="F5" s="9">
        <v>13</v>
      </c>
      <c r="G5" s="9">
        <f t="shared" si="0"/>
        <v>2</v>
      </c>
      <c r="H5" s="9">
        <v>37</v>
      </c>
      <c r="I5" s="9">
        <v>16</v>
      </c>
      <c r="J5" s="9">
        <f t="shared" si="1"/>
        <v>21</v>
      </c>
      <c r="K5" s="9">
        <f t="shared" si="2"/>
        <v>58</v>
      </c>
    </row>
    <row r="6" spans="2:12" x14ac:dyDescent="0.3">
      <c r="B6" s="9">
        <v>4</v>
      </c>
      <c r="C6" s="9" t="s">
        <v>50</v>
      </c>
      <c r="D6" s="9">
        <v>30</v>
      </c>
      <c r="E6" s="9">
        <v>13</v>
      </c>
      <c r="F6" s="9">
        <v>10</v>
      </c>
      <c r="G6" s="9">
        <f t="shared" si="0"/>
        <v>7</v>
      </c>
      <c r="H6" s="9">
        <v>43</v>
      </c>
      <c r="I6" s="9">
        <v>33</v>
      </c>
      <c r="J6" s="9">
        <f t="shared" si="1"/>
        <v>10</v>
      </c>
      <c r="K6" s="9">
        <f t="shared" si="2"/>
        <v>49</v>
      </c>
    </row>
    <row r="7" spans="2:12" x14ac:dyDescent="0.3">
      <c r="B7" s="9">
        <v>5</v>
      </c>
      <c r="C7" s="9" t="s">
        <v>51</v>
      </c>
      <c r="D7" s="9">
        <v>30</v>
      </c>
      <c r="E7" s="9">
        <v>13</v>
      </c>
      <c r="F7" s="9">
        <v>9</v>
      </c>
      <c r="G7" s="9">
        <f t="shared" si="0"/>
        <v>8</v>
      </c>
      <c r="H7" s="9">
        <v>34</v>
      </c>
      <c r="I7" s="9">
        <v>29</v>
      </c>
      <c r="J7" s="9">
        <f t="shared" si="1"/>
        <v>5</v>
      </c>
      <c r="K7" s="9">
        <f t="shared" si="2"/>
        <v>48</v>
      </c>
    </row>
    <row r="8" spans="2:12" x14ac:dyDescent="0.3">
      <c r="B8" s="9">
        <v>6</v>
      </c>
      <c r="C8" s="9" t="s">
        <v>52</v>
      </c>
      <c r="D8" s="9">
        <v>30</v>
      </c>
      <c r="E8" s="9">
        <v>12</v>
      </c>
      <c r="F8" s="9">
        <v>8</v>
      </c>
      <c r="G8" s="9">
        <f t="shared" si="0"/>
        <v>10</v>
      </c>
      <c r="H8" s="9">
        <v>40</v>
      </c>
      <c r="I8" s="9">
        <v>37</v>
      </c>
      <c r="J8" s="9">
        <f t="shared" si="1"/>
        <v>3</v>
      </c>
      <c r="K8" s="9">
        <f t="shared" si="2"/>
        <v>44</v>
      </c>
    </row>
    <row r="9" spans="2:12" x14ac:dyDescent="0.3">
      <c r="B9" s="9">
        <v>7</v>
      </c>
      <c r="C9" s="9" t="s">
        <v>53</v>
      </c>
      <c r="D9" s="9">
        <v>30</v>
      </c>
      <c r="E9" s="9">
        <v>9</v>
      </c>
      <c r="F9" s="9">
        <v>13</v>
      </c>
      <c r="G9" s="9">
        <f t="shared" si="0"/>
        <v>8</v>
      </c>
      <c r="H9" s="9">
        <v>38</v>
      </c>
      <c r="I9" s="9">
        <v>31</v>
      </c>
      <c r="J9" s="9">
        <f t="shared" si="1"/>
        <v>7</v>
      </c>
      <c r="K9" s="9">
        <f t="shared" si="2"/>
        <v>40</v>
      </c>
    </row>
    <row r="10" spans="2:12" x14ac:dyDescent="0.3">
      <c r="B10" s="9">
        <v>8</v>
      </c>
      <c r="C10" s="9" t="s">
        <v>54</v>
      </c>
      <c r="D10" s="9">
        <v>30</v>
      </c>
      <c r="E10" s="9">
        <v>10</v>
      </c>
      <c r="F10" s="9">
        <v>7</v>
      </c>
      <c r="G10" s="9">
        <f t="shared" si="0"/>
        <v>13</v>
      </c>
      <c r="H10" s="9">
        <v>35</v>
      </c>
      <c r="I10" s="9">
        <v>43</v>
      </c>
      <c r="J10" s="9">
        <f t="shared" si="1"/>
        <v>-8</v>
      </c>
      <c r="K10" s="9">
        <f t="shared" si="2"/>
        <v>37</v>
      </c>
    </row>
    <row r="11" spans="2:12" x14ac:dyDescent="0.3">
      <c r="B11" s="9">
        <v>9</v>
      </c>
      <c r="C11" s="9" t="s">
        <v>55</v>
      </c>
      <c r="D11" s="9">
        <v>30</v>
      </c>
      <c r="E11" s="9">
        <v>10</v>
      </c>
      <c r="F11" s="9">
        <v>4</v>
      </c>
      <c r="G11" s="9">
        <f t="shared" si="0"/>
        <v>16</v>
      </c>
      <c r="H11" s="9">
        <v>27</v>
      </c>
      <c r="I11" s="9">
        <v>44</v>
      </c>
      <c r="J11" s="9">
        <f t="shared" si="1"/>
        <v>-17</v>
      </c>
      <c r="K11" s="9">
        <f t="shared" si="2"/>
        <v>34</v>
      </c>
    </row>
    <row r="12" spans="2:12" x14ac:dyDescent="0.3">
      <c r="B12" s="9">
        <v>10</v>
      </c>
      <c r="C12" s="9" t="s">
        <v>56</v>
      </c>
      <c r="D12" s="9">
        <v>30</v>
      </c>
      <c r="E12" s="9">
        <v>8</v>
      </c>
      <c r="F12" s="9">
        <v>10</v>
      </c>
      <c r="G12" s="9">
        <f t="shared" si="0"/>
        <v>12</v>
      </c>
      <c r="H12" s="9">
        <v>27</v>
      </c>
      <c r="I12" s="9">
        <v>38</v>
      </c>
      <c r="J12" s="9">
        <f t="shared" si="1"/>
        <v>-11</v>
      </c>
      <c r="K12" s="9">
        <f t="shared" si="2"/>
        <v>34</v>
      </c>
    </row>
    <row r="13" spans="2:12" x14ac:dyDescent="0.3">
      <c r="B13" s="9">
        <v>11</v>
      </c>
      <c r="C13" s="9" t="s">
        <v>57</v>
      </c>
      <c r="D13" s="9">
        <v>30</v>
      </c>
      <c r="E13" s="9">
        <v>9</v>
      </c>
      <c r="F13" s="9">
        <v>6</v>
      </c>
      <c r="G13" s="9">
        <f t="shared" si="0"/>
        <v>15</v>
      </c>
      <c r="H13" s="9">
        <v>29</v>
      </c>
      <c r="I13" s="9">
        <v>39</v>
      </c>
      <c r="J13" s="9">
        <f t="shared" si="1"/>
        <v>-10</v>
      </c>
      <c r="K13" s="9">
        <f t="shared" si="2"/>
        <v>33</v>
      </c>
    </row>
    <row r="14" spans="2:12" x14ac:dyDescent="0.3">
      <c r="B14" s="9">
        <v>12</v>
      </c>
      <c r="C14" s="9" t="s">
        <v>58</v>
      </c>
      <c r="D14" s="9">
        <v>30</v>
      </c>
      <c r="E14" s="9">
        <v>8</v>
      </c>
      <c r="F14" s="9">
        <v>9</v>
      </c>
      <c r="G14" s="9">
        <f t="shared" si="0"/>
        <v>13</v>
      </c>
      <c r="H14" s="9">
        <v>28</v>
      </c>
      <c r="I14" s="9">
        <v>34</v>
      </c>
      <c r="J14" s="9">
        <f t="shared" si="1"/>
        <v>-6</v>
      </c>
      <c r="K14" s="9">
        <f t="shared" si="2"/>
        <v>33</v>
      </c>
    </row>
    <row r="15" spans="2:12" x14ac:dyDescent="0.3">
      <c r="B15" s="9">
        <v>13</v>
      </c>
      <c r="C15" s="9" t="s">
        <v>59</v>
      </c>
      <c r="D15" s="9">
        <v>30</v>
      </c>
      <c r="E15" s="9">
        <v>7</v>
      </c>
      <c r="F15" s="9">
        <v>10</v>
      </c>
      <c r="G15" s="9">
        <f t="shared" si="0"/>
        <v>13</v>
      </c>
      <c r="H15" s="9">
        <v>28</v>
      </c>
      <c r="I15" s="9">
        <v>40</v>
      </c>
      <c r="J15" s="9">
        <f t="shared" si="1"/>
        <v>-12</v>
      </c>
      <c r="K15" s="9">
        <f t="shared" si="2"/>
        <v>31</v>
      </c>
    </row>
    <row r="16" spans="2:12" x14ac:dyDescent="0.3">
      <c r="B16" s="9">
        <v>14</v>
      </c>
      <c r="C16" s="9" t="s">
        <v>60</v>
      </c>
      <c r="D16" s="9">
        <v>30</v>
      </c>
      <c r="E16" s="9">
        <v>8</v>
      </c>
      <c r="F16" s="9">
        <v>6</v>
      </c>
      <c r="G16" s="9">
        <f t="shared" si="0"/>
        <v>16</v>
      </c>
      <c r="H16" s="9">
        <v>24</v>
      </c>
      <c r="I16" s="9">
        <v>35</v>
      </c>
      <c r="J16" s="9">
        <f t="shared" si="1"/>
        <v>-11</v>
      </c>
      <c r="K16" s="9">
        <f t="shared" si="2"/>
        <v>30</v>
      </c>
    </row>
    <row r="17" spans="2:11" x14ac:dyDescent="0.3">
      <c r="B17" s="9">
        <v>15</v>
      </c>
      <c r="C17" s="9" t="s">
        <v>61</v>
      </c>
      <c r="D17" s="9">
        <v>30</v>
      </c>
      <c r="E17" s="9">
        <v>7</v>
      </c>
      <c r="F17" s="9">
        <v>9</v>
      </c>
      <c r="G17" s="9">
        <f t="shared" si="0"/>
        <v>14</v>
      </c>
      <c r="H17" s="9">
        <v>25</v>
      </c>
      <c r="I17" s="9">
        <v>41</v>
      </c>
      <c r="J17" s="9">
        <f t="shared" si="1"/>
        <v>-16</v>
      </c>
      <c r="K17" s="9">
        <f t="shared" si="2"/>
        <v>30</v>
      </c>
    </row>
    <row r="18" spans="2:11" x14ac:dyDescent="0.3">
      <c r="B18" s="9">
        <v>16</v>
      </c>
      <c r="C18" s="9" t="s">
        <v>62</v>
      </c>
      <c r="D18" s="9">
        <v>30</v>
      </c>
      <c r="E18" s="9">
        <v>4</v>
      </c>
      <c r="F18" s="9">
        <v>8</v>
      </c>
      <c r="G18" s="9">
        <f t="shared" si="0"/>
        <v>18</v>
      </c>
      <c r="H18" s="9">
        <v>34</v>
      </c>
      <c r="I18" s="9">
        <v>58</v>
      </c>
      <c r="J18" s="9">
        <f t="shared" si="1"/>
        <v>-24</v>
      </c>
      <c r="K18" s="9">
        <f t="shared" si="2"/>
        <v>20</v>
      </c>
    </row>
  </sheetData>
  <conditionalFormatting sqref="E2:E18">
    <cfRule type="iconSet" priority="19">
      <iconSet iconSet="3Symbols2">
        <cfvo type="percent" val="0"/>
        <cfvo type="percent" val="33"/>
        <cfvo type="percent" val="67"/>
      </iconSet>
    </cfRule>
  </conditionalFormatting>
  <conditionalFormatting sqref="E3:E18">
    <cfRule type="iconSet" priority="17">
      <iconSet iconSet="3Symbols2">
        <cfvo type="percent" val="0"/>
        <cfvo type="percent" val="33"/>
        <cfvo type="percent" val="67"/>
      </iconSet>
    </cfRule>
  </conditionalFormatting>
  <conditionalFormatting sqref="E3:E18 G3:G18">
    <cfRule type="iconSet" priority="15">
      <iconSet iconSet="3Symbols2">
        <cfvo type="percent" val="0"/>
        <cfvo type="percent" val="33"/>
        <cfvo type="percent" val="100"/>
      </iconSet>
    </cfRule>
    <cfRule type="iconSet" priority="16">
      <iconSet iconSet="3Symbols2">
        <cfvo type="percent" val="0"/>
        <cfvo type="percent" val="33"/>
        <cfvo type="percent" val="67"/>
      </iconSet>
    </cfRule>
  </conditionalFormatting>
  <conditionalFormatting sqref="J3:J18">
    <cfRule type="top10" dxfId="6" priority="5" bottom="1" rank="3"/>
    <cfRule type="cellIs" dxfId="5" priority="6" operator="equal">
      <formula>0</formula>
    </cfRule>
    <cfRule type="top10" dxfId="4" priority="1" rank="3"/>
  </conditionalFormatting>
  <conditionalFormatting sqref="K3:K18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{6E48A4AA-5E61-44C4-9511-81DD82BCCB53}</x14:id>
        </ext>
      </extLst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48A4AA-5E61-44C4-9511-81DD82BCCB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K3:K18</xm:sqref>
        </x14:conditionalFormatting>
        <x14:conditionalFormatting xmlns:xm="http://schemas.microsoft.com/office/excel/2006/main">
          <x14:cfRule type="iconSet" priority="13" id="{BC467D8C-5F90-4864-8AC1-6F48437AB1A4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14:cfRule type="iconSet" priority="14" id="{83246B3E-6C7D-4C03-9000-8A05B8CF3938}">
            <x14:iconSet custom="1">
              <x14:cfvo type="percent">
                <xm:f>0</xm:f>
              </x14:cfvo>
              <x14:cfvo type="percent" gte="0">
                <xm:f>100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TrafficLights1" iconId="2"/>
            </x14:iconSet>
          </x14:cfRule>
          <xm:sqref>E3:E18</xm:sqref>
        </x14:conditionalFormatting>
        <x14:conditionalFormatting xmlns:xm="http://schemas.microsoft.com/office/excel/2006/main">
          <x14:cfRule type="iconSet" priority="11" id="{C8E2BABF-70E3-44B4-8476-94A73BA51077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G3:G18</xm:sqref>
        </x14:conditionalFormatting>
        <x14:conditionalFormatting xmlns:xm="http://schemas.microsoft.com/office/excel/2006/main">
          <x14:cfRule type="iconSet" priority="3" id="{27A85AD6-E37C-4E0D-A8D3-6980739D70CB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F3:F18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3B821-38DB-4273-BFE9-6A35362C377C}">
  <sheetPr codeName="Лист8">
    <tabColor rgb="FFFF0000"/>
  </sheetPr>
  <dimension ref="A1:E11"/>
  <sheetViews>
    <sheetView workbookViewId="0">
      <selection activeCell="C24" sqref="C24"/>
    </sheetView>
  </sheetViews>
  <sheetFormatPr defaultRowHeight="14.4" x14ac:dyDescent="0.3"/>
  <cols>
    <col min="1" max="1" width="16.5546875" customWidth="1"/>
    <col min="2" max="3" width="16.33203125" customWidth="1"/>
    <col min="4" max="4" width="19.33203125" customWidth="1"/>
    <col min="5" max="5" width="18.6640625" customWidth="1"/>
  </cols>
  <sheetData>
    <row r="1" spans="1:5" x14ac:dyDescent="0.3">
      <c r="A1" s="10" t="s">
        <v>105</v>
      </c>
      <c r="B1" s="10" t="s">
        <v>114</v>
      </c>
      <c r="C1" s="10" t="s">
        <v>115</v>
      </c>
      <c r="D1" s="10" t="s">
        <v>116</v>
      </c>
      <c r="E1" s="10" t="s">
        <v>117</v>
      </c>
    </row>
    <row r="2" spans="1:5" x14ac:dyDescent="0.3">
      <c r="A2" s="10" t="s">
        <v>106</v>
      </c>
      <c r="B2" s="48">
        <v>44074</v>
      </c>
      <c r="C2" s="48">
        <f>B2+4</f>
        <v>44078</v>
      </c>
      <c r="D2" s="50">
        <f>5000 - E2</f>
        <v>1000</v>
      </c>
      <c r="E2" s="50">
        <f>IF(MONTH(B2)&lt;&gt;MONTH(C2), DAY(C2),0)*1000</f>
        <v>4000</v>
      </c>
    </row>
    <row r="3" spans="1:5" x14ac:dyDescent="0.3">
      <c r="A3" s="10" t="s">
        <v>107</v>
      </c>
      <c r="B3" s="48">
        <f>B2+7</f>
        <v>44081</v>
      </c>
      <c r="C3" s="48">
        <f t="shared" ref="C3:C9" si="0">B3+4</f>
        <v>44085</v>
      </c>
      <c r="D3" s="50">
        <f t="shared" ref="D3:D9" si="1">5000 - E3</f>
        <v>5000</v>
      </c>
      <c r="E3" s="50">
        <f t="shared" ref="E3:E9" si="2">IF(MONTH(B3)&lt;&gt;MONTH(C3), DAY(C3),0)*1000</f>
        <v>0</v>
      </c>
    </row>
    <row r="4" spans="1:5" x14ac:dyDescent="0.3">
      <c r="A4" s="10" t="s">
        <v>108</v>
      </c>
      <c r="B4" s="48">
        <f t="shared" ref="B4:B9" si="3">B3+7</f>
        <v>44088</v>
      </c>
      <c r="C4" s="48">
        <f t="shared" si="0"/>
        <v>44092</v>
      </c>
      <c r="D4" s="50">
        <f t="shared" si="1"/>
        <v>5000</v>
      </c>
      <c r="E4" s="50">
        <f t="shared" si="2"/>
        <v>0</v>
      </c>
    </row>
    <row r="5" spans="1:5" x14ac:dyDescent="0.3">
      <c r="A5" s="10" t="s">
        <v>109</v>
      </c>
      <c r="B5" s="48">
        <f t="shared" si="3"/>
        <v>44095</v>
      </c>
      <c r="C5" s="48">
        <f t="shared" si="0"/>
        <v>44099</v>
      </c>
      <c r="D5" s="50">
        <f t="shared" si="1"/>
        <v>5000</v>
      </c>
      <c r="E5" s="50">
        <f t="shared" si="2"/>
        <v>0</v>
      </c>
    </row>
    <row r="6" spans="1:5" x14ac:dyDescent="0.3">
      <c r="A6" s="10" t="s">
        <v>110</v>
      </c>
      <c r="B6" s="48">
        <f t="shared" si="3"/>
        <v>44102</v>
      </c>
      <c r="C6" s="48">
        <f t="shared" si="0"/>
        <v>44106</v>
      </c>
      <c r="D6" s="50">
        <f t="shared" si="1"/>
        <v>3000</v>
      </c>
      <c r="E6" s="50">
        <f t="shared" si="2"/>
        <v>2000</v>
      </c>
    </row>
    <row r="7" spans="1:5" x14ac:dyDescent="0.3">
      <c r="A7" s="10" t="s">
        <v>111</v>
      </c>
      <c r="B7" s="48">
        <f t="shared" si="3"/>
        <v>44109</v>
      </c>
      <c r="C7" s="48">
        <f t="shared" si="0"/>
        <v>44113</v>
      </c>
      <c r="D7" s="50">
        <f t="shared" si="1"/>
        <v>5000</v>
      </c>
      <c r="E7" s="50">
        <f t="shared" si="2"/>
        <v>0</v>
      </c>
    </row>
    <row r="8" spans="1:5" x14ac:dyDescent="0.3">
      <c r="A8" s="10" t="s">
        <v>112</v>
      </c>
      <c r="B8" s="48">
        <f t="shared" si="3"/>
        <v>44116</v>
      </c>
      <c r="C8" s="48">
        <f t="shared" si="0"/>
        <v>44120</v>
      </c>
      <c r="D8" s="50">
        <f t="shared" si="1"/>
        <v>5000</v>
      </c>
      <c r="E8" s="50">
        <f t="shared" si="2"/>
        <v>0</v>
      </c>
    </row>
    <row r="9" spans="1:5" x14ac:dyDescent="0.3">
      <c r="A9" s="10" t="s">
        <v>113</v>
      </c>
      <c r="B9" s="48">
        <f t="shared" si="3"/>
        <v>44123</v>
      </c>
      <c r="C9" s="48">
        <f t="shared" si="0"/>
        <v>44127</v>
      </c>
      <c r="D9" s="50">
        <f t="shared" si="1"/>
        <v>5000</v>
      </c>
      <c r="E9" s="50">
        <f t="shared" si="2"/>
        <v>0</v>
      </c>
    </row>
    <row r="10" spans="1:5" x14ac:dyDescent="0.3">
      <c r="A10" s="64"/>
      <c r="E10" s="64"/>
    </row>
    <row r="11" spans="1:5" x14ac:dyDescent="0.3">
      <c r="A11" s="64"/>
      <c r="E11" s="64"/>
    </row>
  </sheetData>
  <mergeCells count="2">
    <mergeCell ref="E10:E11"/>
    <mergeCell ref="A10:A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r:id="rId4">
            <anchor moveWithCells="1">
              <from>
                <xdr:col>4</xdr:col>
                <xdr:colOff>121920</xdr:colOff>
                <xdr:row>9</xdr:row>
                <xdr:rowOff>22860</xdr:rowOff>
              </from>
              <to>
                <xdr:col>4</xdr:col>
                <xdr:colOff>1165860</xdr:colOff>
                <xdr:row>10</xdr:row>
                <xdr:rowOff>152400</xdr:rowOff>
              </to>
            </anchor>
          </controlPr>
        </control>
      </mc:Choice>
      <mc:Fallback>
        <control shapeId="17409" r:id="rId3" name="CommandButton1"/>
      </mc:Fallback>
    </mc:AlternateContent>
    <mc:AlternateContent xmlns:mc="http://schemas.openxmlformats.org/markup-compatibility/2006">
      <mc:Choice Requires="x14">
        <control shapeId="17410" r:id="rId5" name="CommandButton2">
          <controlPr defaultSize="0" autoLine="0" r:id="rId6">
            <anchor moveWithCells="1">
              <from>
                <xdr:col>0</xdr:col>
                <xdr:colOff>45720</xdr:colOff>
                <xdr:row>9</xdr:row>
                <xdr:rowOff>60960</xdr:rowOff>
              </from>
              <to>
                <xdr:col>0</xdr:col>
                <xdr:colOff>1043940</xdr:colOff>
                <xdr:row>10</xdr:row>
                <xdr:rowOff>144780</xdr:rowOff>
              </to>
            </anchor>
          </controlPr>
        </control>
      </mc:Choice>
      <mc:Fallback>
        <control shapeId="17410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A3</vt:lpstr>
      <vt:lpstr>B3</vt:lpstr>
      <vt:lpstr>D4</vt:lpstr>
      <vt:lpstr>E10</vt:lpstr>
      <vt:lpstr>G4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2020-11-24T18:58:38Z</dcterms:created>
  <dcterms:modified xsi:type="dcterms:W3CDTF">2020-11-29T10:27:41Z</dcterms:modified>
</cp:coreProperties>
</file>